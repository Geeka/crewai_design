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Summary" sheetId="2" state="visible" r:id="rId4"/>
  </sheets>
  <definedNames>
    <definedName function="false" hidden="true" localSheetId="0" name="_xlnm._FilterDatabase" vbProcedure="false">Results!$A$1:$T$21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<sst xmlns="http://schemas.openxmlformats.org/spreadsheetml/2006/main" count="270" uniqueCount="166">
  <si>
    <t xml:space="preserve">Resume</t>
  </si>
  <si>
    <t xml:space="preserve">Persona</t>
  </si>
  <si>
    <t xml:space="preserve">Experience</t>
  </si>
  <si>
    <t xml:space="preserve">Crew</t>
  </si>
  <si>
    <t xml:space="preserve">Searches</t>
  </si>
  <si>
    <t xml:space="preserve">Delegations</t>
  </si>
  <si>
    <t xml:space="preserve">Search queries</t>
  </si>
  <si>
    <t xml:space="preserve">Selected job</t>
  </si>
  <si>
    <t xml:space="preserve">Company</t>
  </si>
  <si>
    <t xml:space="preserve">Location</t>
  </si>
  <si>
    <t xml:space="preserve">Title match (0-2)</t>
  </si>
  <si>
    <t xml:space="preserve">Level match (0-2)</t>
  </si>
  <si>
    <t xml:space="preserve">Real employer (0-1)</t>
  </si>
  <si>
    <t xml:space="preserve">Link counted (1 = live or sign-in, 0 = offline)</t>
  </si>
  <si>
    <t xml:space="preserve">Score before link (max 5)</t>
  </si>
  <si>
    <t xml:space="preserve">Good match</t>
  </si>
  <si>
    <t xml:space="preserve">Level evidence</t>
  </si>
  <si>
    <t xml:space="preserve">Notes</t>
  </si>
  <si>
    <t xml:space="preserve">Apply link (from the run log)</t>
  </si>
  <si>
    <t xml:space="preserve">Link status (pick one)</t>
  </si>
  <si>
    <t xml:space="preserve">01</t>
  </si>
  <si>
    <t xml:space="preserve">Entry-level data analyst</t>
  </si>
  <si>
    <t xml:space="preserve">8 months</t>
  </si>
  <si>
    <t xml:space="preserve">Sequential</t>
  </si>
  <si>
    <t xml:space="preserve">entry-level data analyst</t>
  </si>
  <si>
    <t xml:space="preserve">Remote Data Analyst I</t>
  </si>
  <si>
    <t xml:space="preserve">eSimplicity</t>
  </si>
  <si>
    <t xml:space="preserve">Anywhere</t>
  </si>
  <si>
    <t xml:space="preserve">Title: Analyst I</t>
  </si>
  <si>
    <t xml:space="preserve">Real government-services employer</t>
  </si>
  <si>
    <t xml:space="preserve">Open link</t>
  </si>
  <si>
    <t xml:space="preserve">Hierarchical</t>
  </si>
  <si>
    <t xml:space="preserve">junior data analyst</t>
  </si>
  <si>
    <t xml:space="preserve">Services Analytics Graduate Intern</t>
  </si>
  <si>
    <t xml:space="preserve">Dell, Inc.</t>
  </si>
  <si>
    <t xml:space="preserve">Round Rock, TX</t>
  </si>
  <si>
    <t xml:space="preserve">Title: graduate intern (one level below)</t>
  </si>
  <si>
    <t xml:space="preserve">Intern role for a candidate with 8 months of experience</t>
  </si>
  <si>
    <t xml:space="preserve">02</t>
  </si>
  <si>
    <t xml:space="preserve">BI analyst</t>
  </si>
  <si>
    <t xml:space="preserve">3 years</t>
  </si>
  <si>
    <t xml:space="preserve">mid-level business intelligence analyst; Business Intelligence Analyst mid level</t>
  </si>
  <si>
    <t xml:space="preserve">Hybrid BI Analyst: Power BI &amp; SQL Data Strategy</t>
  </si>
  <si>
    <t xml:space="preserve">Global Connections To Employment, Inc.</t>
  </si>
  <si>
    <t xml:space="preserve">(not captured)</t>
  </si>
  <si>
    <t xml:space="preserve">Unverified</t>
  </si>
  <si>
    <t xml:space="preserve">Skills match exactly; employer looks like a staffing firm</t>
  </si>
  <si>
    <t xml:space="preserve">Business Intelligence Analyst</t>
  </si>
  <si>
    <t xml:space="preserve">Robert Half</t>
  </si>
  <si>
    <t xml:space="preserve">Saddle Brook, NJ</t>
  </si>
  <si>
    <t xml:space="preserve">Posting: entry-level opportunity</t>
  </si>
  <si>
    <t xml:space="preserve">Staffing agency; entry-level posting for a 3-year candidate</t>
  </si>
  <si>
    <t xml:space="preserve">03</t>
  </si>
  <si>
    <t xml:space="preserve">Digital marketing analyst</t>
  </si>
  <si>
    <t xml:space="preserve">1 year</t>
  </si>
  <si>
    <t xml:space="preserve">junior digital marketing analyst (x2); junior digital marketing analyst remote</t>
  </si>
  <si>
    <t xml:space="preserve">Paid Media Analyst</t>
  </si>
  <si>
    <t xml:space="preserve">SupplyHouse.com</t>
  </si>
  <si>
    <t xml:space="preserve">Unverified (word 'junior' in results)</t>
  </si>
  <si>
    <t xml:space="preserve">Rerun file 03_1; the original run made 2 searches and chose the same job</t>
  </si>
  <si>
    <t xml:space="preserve">junior digital marketing analyst (x2); ... 2024; ... remote</t>
  </si>
  <si>
    <t xml:space="preserve">First attempt did not finish (no search, no email); rerun succeeded</t>
  </si>
  <si>
    <t xml:space="preserve">04</t>
  </si>
  <si>
    <t xml:space="preserve">Backend software engineer</t>
  </si>
  <si>
    <t xml:space="preserve">4 years</t>
  </si>
  <si>
    <t xml:space="preserve">mid-level backend software engineer</t>
  </si>
  <si>
    <t xml:space="preserve">Mid-Level Application Developer</t>
  </si>
  <si>
    <t xml:space="preserve">Rebel Talent Systems</t>
  </si>
  <si>
    <t xml:space="preserve">Tulsa, OK</t>
  </si>
  <si>
    <t xml:space="preserve">Title: mid-level</t>
  </si>
  <si>
    <t xml:space="preserve">Application developer for government clients; employer looks like a staffing firm (unverified)</t>
  </si>
  <si>
    <t xml:space="preserve">mid-level backend software engineer; ... Java; mid level backend engineer Java Spring Boot PostgreSQL AWS</t>
  </si>
  <si>
    <t xml:space="preserve">Java Backend Developer (W2 Citizens Only)</t>
  </si>
  <si>
    <t xml:space="preserve">Learn Beyond Consulting LLC</t>
  </si>
  <si>
    <t xml:space="preserve">US-only W2 posting from a consultancy</t>
  </si>
  <si>
    <t xml:space="preserve">05</t>
  </si>
  <si>
    <t xml:space="preserve">Frontend developer</t>
  </si>
  <si>
    <t xml:space="preserve">2 years</t>
  </si>
  <si>
    <t xml:space="preserve">junior front-end developer; junior front end developer</t>
  </si>
  <si>
    <t xml:space="preserve">Junior Web Developer</t>
  </si>
  <si>
    <t xml:space="preserve">Nexus Digital Solutions</t>
  </si>
  <si>
    <t xml:space="preserve">Henderson, NV</t>
  </si>
  <si>
    <t xml:space="preserve">Title: junior</t>
  </si>
  <si>
    <t xml:space="preserve">Generic advert wording; employer unverified</t>
  </si>
  <si>
    <t xml:space="preserve">junior frontend developer (x2); frontend developer junior; ... remote 2024; ... remote</t>
  </si>
  <si>
    <t xml:space="preserve">Junior Frontend Engineer - Remote (React/TypeScript)</t>
  </si>
  <si>
    <t xml:space="preserve">MasterBorn</t>
  </si>
  <si>
    <t xml:space="preserve">Strongest pick of the set; 2 of the 5 searches ran through a delegated search agent</t>
  </si>
  <si>
    <t xml:space="preserve">06</t>
  </si>
  <si>
    <t xml:space="preserve">Financial analyst</t>
  </si>
  <si>
    <t xml:space="preserve">junior financial analyst</t>
  </si>
  <si>
    <t xml:space="preserve">Finance FP&amp;A Intern: Variable Pay &amp; Data Analytics</t>
  </si>
  <si>
    <t xml:space="preserve">Spring Venture Group</t>
  </si>
  <si>
    <t xml:space="preserve">Kansas City, MO</t>
  </si>
  <si>
    <t xml:space="preserve">Posting: intern / junior / entry level</t>
  </si>
  <si>
    <t xml:space="preserve">Intern role for a 2-year analyst; the query said 'junior'</t>
  </si>
  <si>
    <t xml:space="preserve">Same pick as the sequential crew</t>
  </si>
  <si>
    <t xml:space="preserve">07</t>
  </si>
  <si>
    <t xml:space="preserve">HR generalist and recruiter</t>
  </si>
  <si>
    <t xml:space="preserve">HR Generalist</t>
  </si>
  <si>
    <t xml:space="preserve">HR Generalist - Manufacturing &amp; Food Safety</t>
  </si>
  <si>
    <t xml:space="preserve">Russell Stover Chocolates, LLC</t>
  </si>
  <si>
    <t xml:space="preserve">Iola, KS</t>
  </si>
  <si>
    <t xml:space="preserve">US-based; same pick in both crews</t>
  </si>
  <si>
    <t xml:space="preserve">08</t>
  </si>
  <si>
    <t xml:space="preserve">Supply chain analyst</t>
  </si>
  <si>
    <t xml:space="preserve">Supply Chain Analyst</t>
  </si>
  <si>
    <t xml:space="preserve">DN LLC</t>
  </si>
  <si>
    <t xml:space="preserve">Irving, TX</t>
  </si>
  <si>
    <t xml:space="preserve">Posting: asks 3 years</t>
  </si>
  <si>
    <t xml:space="preserve">Asks for 3 years against the candidate's 2</t>
  </si>
  <si>
    <t xml:space="preserve">junior supply chain analyst</t>
  </si>
  <si>
    <t xml:space="preserve">Logistics Analyst - Junior # 26-27003</t>
  </si>
  <si>
    <t xml:space="preserve">US Tech Solutions, Inc.</t>
  </si>
  <si>
    <t xml:space="preserve">Framingham, MA</t>
  </si>
  <si>
    <t xml:space="preserve">Staffing firm; adjacent title</t>
  </si>
  <si>
    <t xml:space="preserve">09</t>
  </si>
  <si>
    <t xml:space="preserve">Associate product manager</t>
  </si>
  <si>
    <t xml:space="preserve">associate product manager</t>
  </si>
  <si>
    <t xml:space="preserve">Associate Product Manager @ Social app startup</t>
  </si>
  <si>
    <t xml:space="preserve">Cheez</t>
  </si>
  <si>
    <t xml:space="preserve">Edison, NJ</t>
  </si>
  <si>
    <t xml:space="preserve">Unverified (entry-level wording seen)</t>
  </si>
  <si>
    <t xml:space="preserve">Startup role; level not confirmed</t>
  </si>
  <si>
    <t xml:space="preserve">Associate Product Manager, Web Experience - Ecommerce</t>
  </si>
  <si>
    <t xml:space="preserve">F J Crew Building Contractors Ltd</t>
  </si>
  <si>
    <t xml:space="preserve">New York, NY</t>
  </si>
  <si>
    <t xml:space="preserve">Unverified (may ask for about 5 years)</t>
  </si>
  <si>
    <t xml:space="preserve">Company name does not fit an ecommerce product role; listing may be mislabeled</t>
  </si>
  <si>
    <t xml:space="preserve">10</t>
  </si>
  <si>
    <t xml:space="preserve">Junior data scientist</t>
  </si>
  <si>
    <t xml:space="preserve">6 months</t>
  </si>
  <si>
    <t xml:space="preserve">junior data scientist</t>
  </si>
  <si>
    <t xml:space="preserve">Junior Data Scientist</t>
  </si>
  <si>
    <t xml:space="preserve">Lentech</t>
  </si>
  <si>
    <t xml:space="preserve">Maryland</t>
  </si>
  <si>
    <t xml:space="preserve">Posting: junior; asks 1+ years</t>
  </si>
  <si>
    <t xml:space="preserve">Same pick in both crews</t>
  </si>
  <si>
    <t xml:space="preserve">The first attempt for resume 10 failed with a JSON parse error; the rerun completed</t>
  </si>
  <si>
    <t xml:space="preserve">Job crew evaluation: 10 synthetic resumes, 20 crew runs</t>
  </si>
  <si>
    <t xml:space="preserve">Good-match threshold (score before link, out of 5)</t>
  </si>
  <si>
    <t xml:space="preserve">Runs</t>
  </si>
  <si>
    <t xml:space="preserve">Good matches</t>
  </si>
  <si>
    <t xml:space="preserve">Match rate</t>
  </si>
  <si>
    <t xml:space="preserve">Average score (of 5)</t>
  </si>
  <si>
    <t xml:space="preserve">Average searches per run</t>
  </si>
  <si>
    <t xml:space="preserve">Both crews</t>
  </si>
  <si>
    <t xml:space="preserve">Apply links checked (choose a status in column T of the Results sheet)</t>
  </si>
  <si>
    <t xml:space="preserve">Link status: live</t>
  </si>
  <si>
    <t xml:space="preserve">Link status: sign-in needed (posting exists, viewing gated)</t>
  </si>
  <si>
    <t xml:space="preserve">Link status: offline (posting removed or expired)</t>
  </si>
  <si>
    <t xml:space="preserve">Share of checked links still pointing to a posting</t>
  </si>
  <si>
    <t xml:space="preserve">Average score including the link point (checked rows only)</t>
  </si>
  <si>
    <t xml:space="preserve">How to read this workbook</t>
  </si>
  <si>
    <t xml:space="preserve">Results sheet: one row per crew run. Blue cells are my manual judgments or counts taken from the run logs; black cells are formulas.</t>
  </si>
  <si>
    <t xml:space="preserve">Yellow cells are for you to fill: Link status (Live, Sign-in needed or Offline) on the Results sheet, and the threshold above. Column N turns the status into a point: 1 for Live or Sign-in needed, 0 for Offline.</t>
  </si>
  <si>
    <t xml:space="preserve">Title match: 2 = same role as the resume's target, 1 = adjacent role, 0 = unrelated.</t>
  </si>
  <si>
    <t xml:space="preserve">Level match: 2 = right level, 1 = one level off, 0 = far off. Where the Level evidence column says Unverified, I scored 1 until the posting is read.</t>
  </si>
  <si>
    <t xml:space="preserve">Real employer: 1 = named employer with a real description, 0 = staffing, training or generic advert, or a company name that does not fit the role.</t>
  </si>
  <si>
    <t xml:space="preserve">Good match = score before link of at least the threshold. The link point is not included until you fill column N.</t>
  </si>
  <si>
    <t xml:space="preserve">Scores were assigned from the chosen job's title, company, location and any level wording in the run logs, not from reading every posting in full.</t>
  </si>
  <si>
    <t xml:space="preserve">Search and delegation counts come from the tool-call logs (job_search and delegate_work_to_coworker events).</t>
  </si>
  <si>
    <t xml:space="preserve">Resume 03 hierarchical and resume 10 each failed once on the first attempt; the rows show the rerun result.</t>
  </si>
  <si>
    <t xml:space="preserve">Sample size is 10 resumes and 20 runs, so the numbers describe behaviour and are not an accuracy estimate.</t>
  </si>
  <si>
    <t xml:space="preserve">Apply links were taken from the run logs, one for each chosen job, so no rerun is needed. Click a link, then choose its status in column T. Offline postings are partly a timing effect: aggregator listings expire, so a link can be dead days after the run.</t>
  </si>
  <si>
    <t xml:space="preserve">Many links point to job-board aggregators. The link for resume 05 (sequential) goes to an unfamiliar aggregator site, so treat that listing with caution.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</si>
</sst>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alent.com/view?id=642864194973017808&amp;utm_campaign=google_jobs_apply&amp;utm_source=google_jobs_apply&amp;utm_medium=organic" TargetMode="External"/><Relationship Id="rId2" Type="http://schemas.openxmlformats.org/officeDocument/2006/relationships/hyperlink" Target="https://www.ziprecruiter.com/c/dell/Job/Services-Analytics-Graduate-Intern/-in-Round-Rock,TX?jid=bf4f6088e6e8f60a&amp;utm_campaign=google_jobs_apply&amp;utm_source=google_jobs_apply&amp;utm_medium=organic" TargetMode="External"/><Relationship Id="rId3" Type="http://schemas.openxmlformats.org/officeDocument/2006/relationships/hyperlink" Target="https://jobmesh.io/job/84606847-ae15-4349-8101-346c899e3123?utm_campaign=google_jobs_apply&amp;utm_source=google_jobs_apply&amp;utm_medium=organic" TargetMode="External"/><Relationship Id="rId4" Type="http://schemas.openxmlformats.org/officeDocument/2006/relationships/hyperlink" Target="https://www.linkedin.com/jobs/view/business-intelligence-analyst-at-robert-half-4481692647?utm_campaign=google_jobs_apply&amp;utm_source=google_jobs_apply&amp;utm_medium=organic" TargetMode="External"/><Relationship Id="rId5" Type="http://schemas.openxmlformats.org/officeDocument/2006/relationships/hyperlink" Target="https://www.jobleads.com/us/job/paid-media-analyst--virginia--e49d89e4ef008ab0d65c610fae70706eb?utm_campaign=google_jobs_apply&amp;utm_source=google_jobs_apply&amp;utm_medium=organic" TargetMode="External"/><Relationship Id="rId6" Type="http://schemas.openxmlformats.org/officeDocument/2006/relationships/hyperlink" Target="https://www.jobleads.com/us/job/paid-media-analyst--virginia--e49d89e4ef008ab0d65c610fae70706eb?utm_campaign=google_jobs_apply&amp;utm_source=google_jobs_apply&amp;utm_medium=organic" TargetMode="External"/><Relationship Id="rId7" Type="http://schemas.openxmlformats.org/officeDocument/2006/relationships/hyperlink" Target="https://bebee.com/us/jobs/mid-level-application-developer-rebel-talent-systems-tulsa--lensa-7428_47af8c7513d40313139d60766fcc871414573a7bb18968a985a8081a86f22c93?utm_campaign=google_jobs_apply&amp;utm_source=google_jobs_apply&amp;utm_medium=organic" TargetMode="External"/><Relationship Id="rId8" Type="http://schemas.openxmlformats.org/officeDocument/2006/relationships/hyperlink" Target="https://www.dice.com/job-detail/0bfc00e9-1741-4fcd-936e-384b94a7d8cc?utm_campaign=google_jobs_apply&amp;utm_source=google_jobs_apply&amp;utm_medium=organic" TargetMode="External"/><Relationship Id="rId9" Type="http://schemas.openxmlformats.org/officeDocument/2006/relationships/hyperlink" Target="https://pencariloker.calonkerja.web.id/?jobs=en-job-junior-web-developer-1792018295379&amp;utm_campaign=google_jobs_apply&amp;utm_source=google_jobs_apply&amp;utm_medium=organic" TargetMode="External"/><Relationship Id="rId10" Type="http://schemas.openxmlformats.org/officeDocument/2006/relationships/hyperlink" Target="https://www.jobleads.com/us/job/junior-frontend-engineer-remote-react-typescript--united-states--ea835fdec2db89d4d2c6de263f7703e8b?utm_campaign=google_jobs_apply&amp;utm_source=google_jobs_apply&amp;utm_medium=organic" TargetMode="External"/><Relationship Id="rId11" Type="http://schemas.openxmlformats.org/officeDocument/2006/relationships/hyperlink" Target="https://www.jobleads.com/us/job/finance-fp-a-intern-variable-pay-data-analytics--kansas-city--eb32259e975f84a039ba14149d1310aea?utm_campaign=google_jobs_apply&amp;utm_source=google_jobs_apply&amp;utm_medium=organic" TargetMode="External"/><Relationship Id="rId12" Type="http://schemas.openxmlformats.org/officeDocument/2006/relationships/hyperlink" Target="https://www.jobleads.com/us/job/finance-fp-a-intern-variable-pay-data-analytics--kansas-city--eb32259e975f84a039ba14149d1310aea?utm_campaign=google_jobs_apply&amp;utm_source=google_jobs_apply&amp;utm_medium=organic" TargetMode="External"/><Relationship Id="rId13" Type="http://schemas.openxmlformats.org/officeDocument/2006/relationships/hyperlink" Target="https://www.jobleads.com/us/job/hr-generalist-manufacturing-food-safety--iola--ea018d9fee0aee500772c04bf93ad3119?utm_campaign=google_jobs_apply&amp;utm_source=google_jobs_apply&amp;utm_medium=organic" TargetMode="External"/><Relationship Id="rId14" Type="http://schemas.openxmlformats.org/officeDocument/2006/relationships/hyperlink" Target="https://www.jobleads.com/us/job/hr-generalist-manufacturing-food-safety--iola--ea018d9fee0aee500772c04bf93ad3119?utm_campaign=google_jobs_apply&amp;utm_source=google_jobs_apply&amp;utm_medium=organic" TargetMode="External"/><Relationship Id="rId15" Type="http://schemas.openxmlformats.org/officeDocument/2006/relationships/hyperlink" Target="https://www.indeed.com/viewjob?jk=6a46118fa80ae7c6&amp;utm_campaign=google_jobs_apply&amp;utm_source=google_jobs_apply&amp;utm_medium=organic" TargetMode="External"/><Relationship Id="rId16" Type="http://schemas.openxmlformats.org/officeDocument/2006/relationships/hyperlink" Target="https://www.monster.com/job-openings/logistics-analyst-junior-26-27003-framingham-ma--56cb3697-99bc-4f28-bb88-dd531e233c81?utm_campaign=google_jobs_apply&amp;utm_source=google_jobs_apply&amp;utm_medium=organic" TargetMode="External"/><Relationship Id="rId17" Type="http://schemas.openxmlformats.org/officeDocument/2006/relationships/hyperlink" Target="https://www.snagajob.com/jobs/1100917258?utm_campaign=google_jobs_apply&amp;utm_source=google_jobs_apply&amp;utm_medium=organic" TargetMode="External"/><Relationship Id="rId18" Type="http://schemas.openxmlformats.org/officeDocument/2006/relationships/hyperlink" Target="https://www.jobleads.com/us/job/associate-product-manager-web-experience-ecommerce--new-york--e6a2d6621de01674692ffd6f5ad187415?utm_campaign=google_jobs_apply&amp;utm_source=google_jobs_apply&amp;utm_medium=organic" TargetMode="External"/><Relationship Id="rId19" Type="http://schemas.openxmlformats.org/officeDocument/2006/relationships/hyperlink" Target="https://www.monster.com/job-openings/junior-data-scientist-md--10aafbd9-fbcd-417f-b27c-be89bdfe66ff?utm_campaign=google_jobs_apply&amp;utm_source=google_jobs_apply&amp;utm_medium=organic" TargetMode="External"/><Relationship Id="rId20" Type="http://schemas.openxmlformats.org/officeDocument/2006/relationships/hyperlink" Target="https://www.monster.com/job-openings/junior-data-scientist-md--10aafbd9-fbcd-417f-b27c-be89bdfe66ff?utm_campaign=google_jobs_apply&amp;utm_source=google_jobs_apply&amp;utm_medium=organic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38"/>
    <col collapsed="false" customWidth="true" hidden="false" outlineLevel="0" max="9" min="9" style="0" width="30"/>
    <col collapsed="false" customWidth="true" hidden="false" outlineLevel="0" max="10" min="10" style="0" width="17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8"/>
    <col collapsed="false" customWidth="true" hidden="false" outlineLevel="0" max="18" min="18" style="0" width="46"/>
    <col collapsed="false" customWidth="true" hidden="false" outlineLevel="0" max="19" min="19" style="0" width="14"/>
    <col collapsed="false" customWidth="true" hidden="false" outlineLevel="0" max="20" min="20" style="0" width="1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n">
        <v>1</v>
      </c>
      <c r="F2" s="3" t="n">
        <v>0</v>
      </c>
      <c r="G2" s="2" t="s">
        <v>24</v>
      </c>
      <c r="H2" s="2" t="s">
        <v>25</v>
      </c>
      <c r="I2" s="2" t="s">
        <v>26</v>
      </c>
      <c r="J2" s="2" t="s">
        <v>27</v>
      </c>
      <c r="K2" s="3" t="n">
        <v>2</v>
      </c>
      <c r="L2" s="3" t="n">
        <v>2</v>
      </c>
      <c r="M2" s="3" t="n">
        <v>1</v>
      </c>
      <c r="N2" s="4" t="str">
        <f aca="false">IF(T2="","",IF(T2="Offline",0,1))</f>
        <v/>
      </c>
      <c r="O2" s="4" t="n">
        <f aca="false">K2+L2+M2</f>
        <v>5</v>
      </c>
      <c r="P2" s="4" t="str">
        <f aca="false">IF(O2&gt;=Summary!$B$3,"Yes","No")</f>
        <v>Yes</v>
      </c>
      <c r="Q2" s="2" t="s">
        <v>28</v>
      </c>
      <c r="R2" s="2" t="s">
        <v>29</v>
      </c>
      <c r="S2" s="5" t="s">
        <v>30</v>
      </c>
      <c r="T2" s="6"/>
    </row>
    <row r="3" customFormat="false" ht="23.8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31</v>
      </c>
      <c r="E3" s="3" t="n">
        <v>1</v>
      </c>
      <c r="F3" s="3" t="n">
        <v>0</v>
      </c>
      <c r="G3" s="2" t="s">
        <v>32</v>
      </c>
      <c r="H3" s="2" t="s">
        <v>33</v>
      </c>
      <c r="I3" s="2" t="s">
        <v>34</v>
      </c>
      <c r="J3" s="2" t="s">
        <v>35</v>
      </c>
      <c r="K3" s="3" t="n">
        <v>1</v>
      </c>
      <c r="L3" s="3" t="n">
        <v>1</v>
      </c>
      <c r="M3" s="3" t="n">
        <v>1</v>
      </c>
      <c r="N3" s="4" t="str">
        <f aca="false">IF(T3="","",IF(T3="Offline",0,1))</f>
        <v/>
      </c>
      <c r="O3" s="4" t="n">
        <f aca="false">K3+L3+M3</f>
        <v>3</v>
      </c>
      <c r="P3" s="4" t="str">
        <f aca="false">IF(O3&gt;=Summary!$B$3,"Yes","No")</f>
        <v>No</v>
      </c>
      <c r="Q3" s="2" t="s">
        <v>36</v>
      </c>
      <c r="R3" s="2" t="s">
        <v>37</v>
      </c>
      <c r="S3" s="5" t="s">
        <v>30</v>
      </c>
      <c r="T3" s="6"/>
    </row>
    <row r="4" customFormat="false" ht="23.8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23</v>
      </c>
      <c r="E4" s="3" t="n">
        <v>2</v>
      </c>
      <c r="F4" s="3" t="n">
        <v>0</v>
      </c>
      <c r="G4" s="2" t="s">
        <v>41</v>
      </c>
      <c r="H4" s="2" t="s">
        <v>42</v>
      </c>
      <c r="I4" s="2" t="s">
        <v>43</v>
      </c>
      <c r="J4" s="2" t="s">
        <v>44</v>
      </c>
      <c r="K4" s="3" t="n">
        <v>2</v>
      </c>
      <c r="L4" s="3" t="n">
        <v>1</v>
      </c>
      <c r="M4" s="3" t="n">
        <v>0</v>
      </c>
      <c r="N4" s="4" t="str">
        <f aca="false">IF(T4="","",IF(T4="Offline",0,1))</f>
        <v/>
      </c>
      <c r="O4" s="4" t="n">
        <f aca="false">K4+L4+M4</f>
        <v>3</v>
      </c>
      <c r="P4" s="4" t="str">
        <f aca="false">IF(O4&gt;=Summary!$B$3,"Yes","No")</f>
        <v>No</v>
      </c>
      <c r="Q4" s="2" t="s">
        <v>45</v>
      </c>
      <c r="R4" s="2" t="s">
        <v>46</v>
      </c>
      <c r="S4" s="5" t="s">
        <v>30</v>
      </c>
      <c r="T4" s="6"/>
    </row>
    <row r="5" customFormat="false" ht="23.8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31</v>
      </c>
      <c r="E5" s="3" t="n">
        <v>1</v>
      </c>
      <c r="F5" s="3" t="n">
        <v>1</v>
      </c>
      <c r="G5" s="2" t="s">
        <v>47</v>
      </c>
      <c r="H5" s="2" t="s">
        <v>47</v>
      </c>
      <c r="I5" s="2" t="s">
        <v>48</v>
      </c>
      <c r="J5" s="2" t="s">
        <v>49</v>
      </c>
      <c r="K5" s="3" t="n">
        <v>2</v>
      </c>
      <c r="L5" s="3" t="n">
        <v>1</v>
      </c>
      <c r="M5" s="3" t="n">
        <v>0</v>
      </c>
      <c r="N5" s="4" t="str">
        <f aca="false">IF(T5="","",IF(T5="Offline",0,1))</f>
        <v/>
      </c>
      <c r="O5" s="4" t="n">
        <f aca="false">K5+L5+M5</f>
        <v>3</v>
      </c>
      <c r="P5" s="4" t="str">
        <f aca="false">IF(O5&gt;=Summary!$B$3,"Yes","No")</f>
        <v>No</v>
      </c>
      <c r="Q5" s="2" t="s">
        <v>50</v>
      </c>
      <c r="R5" s="2" t="s">
        <v>51</v>
      </c>
      <c r="S5" s="5" t="s">
        <v>30</v>
      </c>
      <c r="T5" s="6"/>
    </row>
    <row r="6" customFormat="false" ht="23.85" hidden="false" customHeight="false" outlineLevel="0" collapsed="false">
      <c r="A6" s="2" t="s">
        <v>52</v>
      </c>
      <c r="B6" s="2" t="s">
        <v>53</v>
      </c>
      <c r="C6" s="2" t="s">
        <v>54</v>
      </c>
      <c r="D6" s="2" t="s">
        <v>23</v>
      </c>
      <c r="E6" s="3" t="n">
        <v>3</v>
      </c>
      <c r="F6" s="3" t="n">
        <v>0</v>
      </c>
      <c r="G6" s="2" t="s">
        <v>55</v>
      </c>
      <c r="H6" s="2" t="s">
        <v>56</v>
      </c>
      <c r="I6" s="2" t="s">
        <v>57</v>
      </c>
      <c r="J6" s="2" t="s">
        <v>27</v>
      </c>
      <c r="K6" s="3" t="n">
        <v>2</v>
      </c>
      <c r="L6" s="3" t="n">
        <v>1</v>
      </c>
      <c r="M6" s="3" t="n">
        <v>1</v>
      </c>
      <c r="N6" s="4" t="str">
        <f aca="false">IF(T6="","",IF(T6="Offline",0,1))</f>
        <v/>
      </c>
      <c r="O6" s="4" t="n">
        <f aca="false">K6+L6+M6</f>
        <v>4</v>
      </c>
      <c r="P6" s="4" t="str">
        <f aca="false">IF(O6&gt;=Summary!$B$3,"Yes","No")</f>
        <v>Yes</v>
      </c>
      <c r="Q6" s="2" t="s">
        <v>58</v>
      </c>
      <c r="R6" s="2" t="s">
        <v>59</v>
      </c>
      <c r="S6" s="5" t="s">
        <v>30</v>
      </c>
      <c r="T6" s="6"/>
    </row>
    <row r="7" customFormat="false" ht="23.85" hidden="false" customHeight="false" outlineLevel="0" collapsed="false">
      <c r="A7" s="2" t="s">
        <v>52</v>
      </c>
      <c r="B7" s="2" t="s">
        <v>53</v>
      </c>
      <c r="C7" s="2" t="s">
        <v>54</v>
      </c>
      <c r="D7" s="2" t="s">
        <v>31</v>
      </c>
      <c r="E7" s="3" t="n">
        <v>4</v>
      </c>
      <c r="F7" s="3" t="n">
        <v>0</v>
      </c>
      <c r="G7" s="2" t="s">
        <v>60</v>
      </c>
      <c r="H7" s="2" t="s">
        <v>56</v>
      </c>
      <c r="I7" s="2" t="s">
        <v>57</v>
      </c>
      <c r="J7" s="2" t="s">
        <v>27</v>
      </c>
      <c r="K7" s="3" t="n">
        <v>2</v>
      </c>
      <c r="L7" s="3" t="n">
        <v>1</v>
      </c>
      <c r="M7" s="3" t="n">
        <v>1</v>
      </c>
      <c r="N7" s="4" t="str">
        <f aca="false">IF(T7="","",IF(T7="Offline",0,1))</f>
        <v/>
      </c>
      <c r="O7" s="4" t="n">
        <f aca="false">K7+L7+M7</f>
        <v>4</v>
      </c>
      <c r="P7" s="4" t="str">
        <f aca="false">IF(O7&gt;=Summary!$B$3,"Yes","No")</f>
        <v>Yes</v>
      </c>
      <c r="Q7" s="2" t="s">
        <v>45</v>
      </c>
      <c r="R7" s="2" t="s">
        <v>61</v>
      </c>
      <c r="S7" s="5" t="s">
        <v>30</v>
      </c>
      <c r="T7" s="6"/>
    </row>
    <row r="8" customFormat="false" ht="23.8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23</v>
      </c>
      <c r="E8" s="3" t="n">
        <v>1</v>
      </c>
      <c r="F8" s="3" t="n">
        <v>0</v>
      </c>
      <c r="G8" s="2" t="s">
        <v>65</v>
      </c>
      <c r="H8" s="2" t="s">
        <v>66</v>
      </c>
      <c r="I8" s="2" t="s">
        <v>67</v>
      </c>
      <c r="J8" s="2" t="s">
        <v>68</v>
      </c>
      <c r="K8" s="3" t="n">
        <v>1</v>
      </c>
      <c r="L8" s="3" t="n">
        <v>2</v>
      </c>
      <c r="M8" s="3" t="n">
        <v>0</v>
      </c>
      <c r="N8" s="4" t="str">
        <f aca="false">IF(T8="","",IF(T8="Offline",0,1))</f>
        <v/>
      </c>
      <c r="O8" s="4" t="n">
        <f aca="false">K8+L8+M8</f>
        <v>3</v>
      </c>
      <c r="P8" s="4" t="str">
        <f aca="false">IF(O8&gt;=Summary!$B$3,"Yes","No")</f>
        <v>No</v>
      </c>
      <c r="Q8" s="2" t="s">
        <v>69</v>
      </c>
      <c r="R8" s="2" t="s">
        <v>70</v>
      </c>
      <c r="S8" s="5" t="s">
        <v>30</v>
      </c>
      <c r="T8" s="6"/>
    </row>
    <row r="9" customFormat="false" ht="35.05" hidden="false" customHeight="false" outlineLevel="0" collapsed="false">
      <c r="A9" s="2" t="s">
        <v>62</v>
      </c>
      <c r="B9" s="2" t="s">
        <v>63</v>
      </c>
      <c r="C9" s="2" t="s">
        <v>64</v>
      </c>
      <c r="D9" s="2" t="s">
        <v>31</v>
      </c>
      <c r="E9" s="3" t="n">
        <v>3</v>
      </c>
      <c r="F9" s="3" t="n">
        <v>0</v>
      </c>
      <c r="G9" s="2" t="s">
        <v>71</v>
      </c>
      <c r="H9" s="2" t="s">
        <v>72</v>
      </c>
      <c r="I9" s="2" t="s">
        <v>73</v>
      </c>
      <c r="J9" s="2" t="s">
        <v>44</v>
      </c>
      <c r="K9" s="3" t="n">
        <v>2</v>
      </c>
      <c r="L9" s="3" t="n">
        <v>1</v>
      </c>
      <c r="M9" s="3" t="n">
        <v>0</v>
      </c>
      <c r="N9" s="4" t="str">
        <f aca="false">IF(T9="","",IF(T9="Offline",0,1))</f>
        <v/>
      </c>
      <c r="O9" s="4" t="n">
        <f aca="false">K9+L9+M9</f>
        <v>3</v>
      </c>
      <c r="P9" s="4" t="str">
        <f aca="false">IF(O9&gt;=Summary!$B$3,"Yes","No")</f>
        <v>No</v>
      </c>
      <c r="Q9" s="2" t="s">
        <v>45</v>
      </c>
      <c r="R9" s="2" t="s">
        <v>74</v>
      </c>
      <c r="S9" s="5" t="s">
        <v>30</v>
      </c>
      <c r="T9" s="6"/>
    </row>
    <row r="10" customFormat="false" ht="23.8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23</v>
      </c>
      <c r="E10" s="3" t="n">
        <v>2</v>
      </c>
      <c r="F10" s="3" t="n">
        <v>0</v>
      </c>
      <c r="G10" s="2" t="s">
        <v>78</v>
      </c>
      <c r="H10" s="2" t="s">
        <v>79</v>
      </c>
      <c r="I10" s="2" t="s">
        <v>80</v>
      </c>
      <c r="J10" s="2" t="s">
        <v>81</v>
      </c>
      <c r="K10" s="3" t="n">
        <v>2</v>
      </c>
      <c r="L10" s="3" t="n">
        <v>2</v>
      </c>
      <c r="M10" s="3" t="n">
        <v>0</v>
      </c>
      <c r="N10" s="4" t="str">
        <f aca="false">IF(T10="","",IF(T10="Offline",0,1))</f>
        <v/>
      </c>
      <c r="O10" s="4" t="n">
        <f aca="false">K10+L10+M10</f>
        <v>4</v>
      </c>
      <c r="P10" s="4" t="str">
        <f aca="false">IF(O10&gt;=Summary!$B$3,"Yes","No")</f>
        <v>Yes</v>
      </c>
      <c r="Q10" s="2" t="s">
        <v>82</v>
      </c>
      <c r="R10" s="2" t="s">
        <v>83</v>
      </c>
      <c r="S10" s="5" t="s">
        <v>30</v>
      </c>
      <c r="T10" s="6"/>
    </row>
    <row r="11" customFormat="false" ht="23.85" hidden="false" customHeight="false" outlineLevel="0" collapsed="false">
      <c r="A11" s="2" t="s">
        <v>75</v>
      </c>
      <c r="B11" s="2" t="s">
        <v>76</v>
      </c>
      <c r="C11" s="2" t="s">
        <v>77</v>
      </c>
      <c r="D11" s="2" t="s">
        <v>31</v>
      </c>
      <c r="E11" s="3" t="n">
        <v>5</v>
      </c>
      <c r="F11" s="3" t="n">
        <v>1</v>
      </c>
      <c r="G11" s="2" t="s">
        <v>84</v>
      </c>
      <c r="H11" s="2" t="s">
        <v>85</v>
      </c>
      <c r="I11" s="2" t="s">
        <v>86</v>
      </c>
      <c r="J11" s="2" t="s">
        <v>27</v>
      </c>
      <c r="K11" s="3" t="n">
        <v>2</v>
      </c>
      <c r="L11" s="3" t="n">
        <v>2</v>
      </c>
      <c r="M11" s="3" t="n">
        <v>1</v>
      </c>
      <c r="N11" s="4" t="str">
        <f aca="false">IF(T11="","",IF(T11="Offline",0,1))</f>
        <v/>
      </c>
      <c r="O11" s="4" t="n">
        <f aca="false">K11+L11+M11</f>
        <v>5</v>
      </c>
      <c r="P11" s="4" t="str">
        <f aca="false">IF(O11&gt;=Summary!$B$3,"Yes","No")</f>
        <v>Yes</v>
      </c>
      <c r="Q11" s="2" t="s">
        <v>82</v>
      </c>
      <c r="R11" s="2" t="s">
        <v>87</v>
      </c>
      <c r="S11" s="5" t="s">
        <v>30</v>
      </c>
      <c r="T11" s="6"/>
    </row>
    <row r="12" customFormat="false" ht="23.85" hidden="false" customHeight="false" outlineLevel="0" collapsed="false">
      <c r="A12" s="2" t="s">
        <v>88</v>
      </c>
      <c r="B12" s="2" t="s">
        <v>89</v>
      </c>
      <c r="C12" s="2" t="s">
        <v>77</v>
      </c>
      <c r="D12" s="2" t="s">
        <v>23</v>
      </c>
      <c r="E12" s="3" t="n">
        <v>1</v>
      </c>
      <c r="F12" s="3" t="n">
        <v>0</v>
      </c>
      <c r="G12" s="2" t="s">
        <v>90</v>
      </c>
      <c r="H12" s="2" t="s">
        <v>91</v>
      </c>
      <c r="I12" s="2" t="s">
        <v>92</v>
      </c>
      <c r="J12" s="2" t="s">
        <v>93</v>
      </c>
      <c r="K12" s="3" t="n">
        <v>2</v>
      </c>
      <c r="L12" s="3" t="n">
        <v>1</v>
      </c>
      <c r="M12" s="3" t="n">
        <v>1</v>
      </c>
      <c r="N12" s="4" t="str">
        <f aca="false">IF(T12="","",IF(T12="Offline",0,1))</f>
        <v/>
      </c>
      <c r="O12" s="4" t="n">
        <f aca="false">K12+L12+M12</f>
        <v>4</v>
      </c>
      <c r="P12" s="4" t="str">
        <f aca="false">IF(O12&gt;=Summary!$B$3,"Yes","No")</f>
        <v>Yes</v>
      </c>
      <c r="Q12" s="2" t="s">
        <v>94</v>
      </c>
      <c r="R12" s="2" t="s">
        <v>95</v>
      </c>
      <c r="S12" s="5" t="s">
        <v>30</v>
      </c>
      <c r="T12" s="6"/>
    </row>
    <row r="13" customFormat="false" ht="23.85" hidden="false" customHeight="false" outlineLevel="0" collapsed="false">
      <c r="A13" s="2" t="s">
        <v>88</v>
      </c>
      <c r="B13" s="2" t="s">
        <v>89</v>
      </c>
      <c r="C13" s="2" t="s">
        <v>77</v>
      </c>
      <c r="D13" s="2" t="s">
        <v>31</v>
      </c>
      <c r="E13" s="3" t="n">
        <v>1</v>
      </c>
      <c r="F13" s="3" t="n">
        <v>0</v>
      </c>
      <c r="G13" s="2" t="s">
        <v>90</v>
      </c>
      <c r="H13" s="2" t="s">
        <v>91</v>
      </c>
      <c r="I13" s="2" t="s">
        <v>92</v>
      </c>
      <c r="J13" s="2" t="s">
        <v>93</v>
      </c>
      <c r="K13" s="3" t="n">
        <v>2</v>
      </c>
      <c r="L13" s="3" t="n">
        <v>1</v>
      </c>
      <c r="M13" s="3" t="n">
        <v>1</v>
      </c>
      <c r="N13" s="4" t="str">
        <f aca="false">IF(T13="","",IF(T13="Offline",0,1))</f>
        <v/>
      </c>
      <c r="O13" s="4" t="n">
        <f aca="false">K13+L13+M13</f>
        <v>4</v>
      </c>
      <c r="P13" s="4" t="str">
        <f aca="false">IF(O13&gt;=Summary!$B$3,"Yes","No")</f>
        <v>Yes</v>
      </c>
      <c r="Q13" s="2" t="s">
        <v>94</v>
      </c>
      <c r="R13" s="2" t="s">
        <v>96</v>
      </c>
      <c r="S13" s="5" t="s">
        <v>30</v>
      </c>
      <c r="T13" s="6"/>
    </row>
    <row r="14" customFormat="false" ht="15" hidden="false" customHeight="false" outlineLevel="0" collapsed="false">
      <c r="A14" s="2" t="s">
        <v>97</v>
      </c>
      <c r="B14" s="2" t="s">
        <v>98</v>
      </c>
      <c r="C14" s="2" t="s">
        <v>40</v>
      </c>
      <c r="D14" s="2" t="s">
        <v>23</v>
      </c>
      <c r="E14" s="3" t="n">
        <v>1</v>
      </c>
      <c r="F14" s="3" t="n">
        <v>0</v>
      </c>
      <c r="G14" s="2" t="s">
        <v>99</v>
      </c>
      <c r="H14" s="2" t="s">
        <v>100</v>
      </c>
      <c r="I14" s="2" t="s">
        <v>101</v>
      </c>
      <c r="J14" s="2" t="s">
        <v>102</v>
      </c>
      <c r="K14" s="3" t="n">
        <v>2</v>
      </c>
      <c r="L14" s="3" t="n">
        <v>1</v>
      </c>
      <c r="M14" s="3" t="n">
        <v>1</v>
      </c>
      <c r="N14" s="4" t="str">
        <f aca="false">IF(T14="","",IF(T14="Offline",0,1))</f>
        <v/>
      </c>
      <c r="O14" s="4" t="n">
        <f aca="false">K14+L14+M14</f>
        <v>4</v>
      </c>
      <c r="P14" s="4" t="str">
        <f aca="false">IF(O14&gt;=Summary!$B$3,"Yes","No")</f>
        <v>Yes</v>
      </c>
      <c r="Q14" s="2" t="s">
        <v>45</v>
      </c>
      <c r="R14" s="2" t="s">
        <v>103</v>
      </c>
      <c r="S14" s="5" t="s">
        <v>30</v>
      </c>
      <c r="T14" s="6"/>
    </row>
    <row r="15" customFormat="false" ht="15" hidden="false" customHeight="false" outlineLevel="0" collapsed="false">
      <c r="A15" s="2" t="s">
        <v>97</v>
      </c>
      <c r="B15" s="2" t="s">
        <v>98</v>
      </c>
      <c r="C15" s="2" t="s">
        <v>40</v>
      </c>
      <c r="D15" s="2" t="s">
        <v>31</v>
      </c>
      <c r="E15" s="3" t="n">
        <v>1</v>
      </c>
      <c r="F15" s="3" t="n">
        <v>0</v>
      </c>
      <c r="G15" s="2" t="s">
        <v>99</v>
      </c>
      <c r="H15" s="2" t="s">
        <v>100</v>
      </c>
      <c r="I15" s="2" t="s">
        <v>101</v>
      </c>
      <c r="J15" s="2" t="s">
        <v>102</v>
      </c>
      <c r="K15" s="3" t="n">
        <v>2</v>
      </c>
      <c r="L15" s="3" t="n">
        <v>1</v>
      </c>
      <c r="M15" s="3" t="n">
        <v>1</v>
      </c>
      <c r="N15" s="4" t="str">
        <f aca="false">IF(T15="","",IF(T15="Offline",0,1))</f>
        <v/>
      </c>
      <c r="O15" s="4" t="n">
        <f aca="false">K15+L15+M15</f>
        <v>4</v>
      </c>
      <c r="P15" s="4" t="str">
        <f aca="false">IF(O15&gt;=Summary!$B$3,"Yes","No")</f>
        <v>Yes</v>
      </c>
      <c r="Q15" s="2" t="s">
        <v>45</v>
      </c>
      <c r="R15" s="2" t="s">
        <v>96</v>
      </c>
      <c r="S15" s="5" t="s">
        <v>30</v>
      </c>
      <c r="T15" s="6"/>
    </row>
    <row r="16" customFormat="false" ht="15" hidden="false" customHeight="false" outlineLevel="0" collapsed="false">
      <c r="A16" s="2" t="s">
        <v>104</v>
      </c>
      <c r="B16" s="2" t="s">
        <v>105</v>
      </c>
      <c r="C16" s="2" t="s">
        <v>77</v>
      </c>
      <c r="D16" s="2" t="s">
        <v>23</v>
      </c>
      <c r="E16" s="3" t="n">
        <v>1</v>
      </c>
      <c r="F16" s="3" t="n">
        <v>0</v>
      </c>
      <c r="G16" s="2" t="s">
        <v>106</v>
      </c>
      <c r="H16" s="2" t="s">
        <v>106</v>
      </c>
      <c r="I16" s="2" t="s">
        <v>107</v>
      </c>
      <c r="J16" s="2" t="s">
        <v>108</v>
      </c>
      <c r="K16" s="3" t="n">
        <v>2</v>
      </c>
      <c r="L16" s="3" t="n">
        <v>1</v>
      </c>
      <c r="M16" s="3" t="n">
        <v>1</v>
      </c>
      <c r="N16" s="4" t="str">
        <f aca="false">IF(T16="","",IF(T16="Offline",0,1))</f>
        <v/>
      </c>
      <c r="O16" s="4" t="n">
        <f aca="false">K16+L16+M16</f>
        <v>4</v>
      </c>
      <c r="P16" s="4" t="str">
        <f aca="false">IF(O16&gt;=Summary!$B$3,"Yes","No")</f>
        <v>Yes</v>
      </c>
      <c r="Q16" s="2" t="s">
        <v>109</v>
      </c>
      <c r="R16" s="2" t="s">
        <v>110</v>
      </c>
      <c r="S16" s="5" t="s">
        <v>30</v>
      </c>
      <c r="T16" s="6"/>
    </row>
    <row r="17" customFormat="false" ht="15" hidden="false" customHeight="false" outlineLevel="0" collapsed="false">
      <c r="A17" s="2" t="s">
        <v>104</v>
      </c>
      <c r="B17" s="2" t="s">
        <v>105</v>
      </c>
      <c r="C17" s="2" t="s">
        <v>77</v>
      </c>
      <c r="D17" s="2" t="s">
        <v>31</v>
      </c>
      <c r="E17" s="3" t="n">
        <v>1</v>
      </c>
      <c r="F17" s="3" t="n">
        <v>0</v>
      </c>
      <c r="G17" s="2" t="s">
        <v>111</v>
      </c>
      <c r="H17" s="2" t="s">
        <v>112</v>
      </c>
      <c r="I17" s="2" t="s">
        <v>113</v>
      </c>
      <c r="J17" s="2" t="s">
        <v>114</v>
      </c>
      <c r="K17" s="3" t="n">
        <v>1</v>
      </c>
      <c r="L17" s="3" t="n">
        <v>1</v>
      </c>
      <c r="M17" s="3" t="n">
        <v>0</v>
      </c>
      <c r="N17" s="4" t="str">
        <f aca="false">IF(T17="","",IF(T17="Offline",0,1))</f>
        <v/>
      </c>
      <c r="O17" s="4" t="n">
        <f aca="false">K17+L17+M17</f>
        <v>2</v>
      </c>
      <c r="P17" s="4" t="str">
        <f aca="false">IF(O17&gt;=Summary!$B$3,"Yes","No")</f>
        <v>No</v>
      </c>
      <c r="Q17" s="2" t="s">
        <v>82</v>
      </c>
      <c r="R17" s="2" t="s">
        <v>115</v>
      </c>
      <c r="S17" s="5" t="s">
        <v>30</v>
      </c>
      <c r="T17" s="6"/>
    </row>
    <row r="18" customFormat="false" ht="23.85" hidden="false" customHeight="false" outlineLevel="0" collapsed="false">
      <c r="A18" s="2" t="s">
        <v>116</v>
      </c>
      <c r="B18" s="2" t="s">
        <v>117</v>
      </c>
      <c r="C18" s="2" t="s">
        <v>40</v>
      </c>
      <c r="D18" s="2" t="s">
        <v>23</v>
      </c>
      <c r="E18" s="3" t="n">
        <v>1</v>
      </c>
      <c r="F18" s="3" t="n">
        <v>0</v>
      </c>
      <c r="G18" s="2" t="s">
        <v>118</v>
      </c>
      <c r="H18" s="2" t="s">
        <v>119</v>
      </c>
      <c r="I18" s="2" t="s">
        <v>120</v>
      </c>
      <c r="J18" s="2" t="s">
        <v>121</v>
      </c>
      <c r="K18" s="3" t="n">
        <v>2</v>
      </c>
      <c r="L18" s="3" t="n">
        <v>1</v>
      </c>
      <c r="M18" s="3" t="n">
        <v>1</v>
      </c>
      <c r="N18" s="4" t="str">
        <f aca="false">IF(T18="","",IF(T18="Offline",0,1))</f>
        <v/>
      </c>
      <c r="O18" s="4" t="n">
        <f aca="false">K18+L18+M18</f>
        <v>4</v>
      </c>
      <c r="P18" s="4" t="str">
        <f aca="false">IF(O18&gt;=Summary!$B$3,"Yes","No")</f>
        <v>Yes</v>
      </c>
      <c r="Q18" s="2" t="s">
        <v>122</v>
      </c>
      <c r="R18" s="2" t="s">
        <v>123</v>
      </c>
      <c r="S18" s="5" t="s">
        <v>30</v>
      </c>
      <c r="T18" s="6"/>
    </row>
    <row r="19" customFormat="false" ht="23.85" hidden="false" customHeight="false" outlineLevel="0" collapsed="false">
      <c r="A19" s="2" t="s">
        <v>116</v>
      </c>
      <c r="B19" s="2" t="s">
        <v>117</v>
      </c>
      <c r="C19" s="2" t="s">
        <v>40</v>
      </c>
      <c r="D19" s="2" t="s">
        <v>31</v>
      </c>
      <c r="E19" s="3" t="n">
        <v>1</v>
      </c>
      <c r="F19" s="3" t="n">
        <v>0</v>
      </c>
      <c r="G19" s="2" t="s">
        <v>118</v>
      </c>
      <c r="H19" s="2" t="s">
        <v>124</v>
      </c>
      <c r="I19" s="2" t="s">
        <v>125</v>
      </c>
      <c r="J19" s="2" t="s">
        <v>126</v>
      </c>
      <c r="K19" s="3" t="n">
        <v>2</v>
      </c>
      <c r="L19" s="3" t="n">
        <v>1</v>
      </c>
      <c r="M19" s="3" t="n">
        <v>0</v>
      </c>
      <c r="N19" s="4" t="str">
        <f aca="false">IF(T19="","",IF(T19="Offline",0,1))</f>
        <v/>
      </c>
      <c r="O19" s="4" t="n">
        <f aca="false">K19+L19+M19</f>
        <v>3</v>
      </c>
      <c r="P19" s="4" t="str">
        <f aca="false">IF(O19&gt;=Summary!$B$3,"Yes","No")</f>
        <v>No</v>
      </c>
      <c r="Q19" s="2" t="s">
        <v>127</v>
      </c>
      <c r="R19" s="2" t="s">
        <v>128</v>
      </c>
      <c r="S19" s="5" t="s">
        <v>30</v>
      </c>
      <c r="T19" s="6"/>
    </row>
    <row r="20" customFormat="false" ht="15" hidden="false" customHeight="false" outlineLevel="0" collapsed="false">
      <c r="A20" s="2" t="s">
        <v>129</v>
      </c>
      <c r="B20" s="2" t="s">
        <v>130</v>
      </c>
      <c r="C20" s="2" t="s">
        <v>131</v>
      </c>
      <c r="D20" s="2" t="s">
        <v>23</v>
      </c>
      <c r="E20" s="3" t="n">
        <v>1</v>
      </c>
      <c r="F20" s="3" t="n">
        <v>0</v>
      </c>
      <c r="G20" s="2" t="s">
        <v>132</v>
      </c>
      <c r="H20" s="2" t="s">
        <v>133</v>
      </c>
      <c r="I20" s="2" t="s">
        <v>134</v>
      </c>
      <c r="J20" s="2" t="s">
        <v>135</v>
      </c>
      <c r="K20" s="3" t="n">
        <v>2</v>
      </c>
      <c r="L20" s="3" t="n">
        <v>2</v>
      </c>
      <c r="M20" s="3" t="n">
        <v>1</v>
      </c>
      <c r="N20" s="4" t="str">
        <f aca="false">IF(T20="","",IF(T20="Offline",0,1))</f>
        <v/>
      </c>
      <c r="O20" s="4" t="n">
        <f aca="false">K20+L20+M20</f>
        <v>5</v>
      </c>
      <c r="P20" s="4" t="str">
        <f aca="false">IF(O20&gt;=Summary!$B$3,"Yes","No")</f>
        <v>Yes</v>
      </c>
      <c r="Q20" s="2" t="s">
        <v>136</v>
      </c>
      <c r="R20" s="2" t="s">
        <v>137</v>
      </c>
      <c r="S20" s="5" t="s">
        <v>30</v>
      </c>
      <c r="T20" s="6"/>
    </row>
    <row r="21" customFormat="false" ht="23.85" hidden="false" customHeight="false" outlineLevel="0" collapsed="false">
      <c r="A21" s="2" t="s">
        <v>129</v>
      </c>
      <c r="B21" s="2" t="s">
        <v>130</v>
      </c>
      <c r="C21" s="2" t="s">
        <v>131</v>
      </c>
      <c r="D21" s="2" t="s">
        <v>31</v>
      </c>
      <c r="E21" s="3" t="n">
        <v>1</v>
      </c>
      <c r="F21" s="3" t="n">
        <v>0</v>
      </c>
      <c r="G21" s="2" t="s">
        <v>132</v>
      </c>
      <c r="H21" s="2" t="s">
        <v>133</v>
      </c>
      <c r="I21" s="2" t="s">
        <v>134</v>
      </c>
      <c r="J21" s="2" t="s">
        <v>135</v>
      </c>
      <c r="K21" s="3" t="n">
        <v>2</v>
      </c>
      <c r="L21" s="3" t="n">
        <v>2</v>
      </c>
      <c r="M21" s="3" t="n">
        <v>1</v>
      </c>
      <c r="N21" s="4" t="str">
        <f aca="false">IF(T21="","",IF(T21="Offline",0,1))</f>
        <v/>
      </c>
      <c r="O21" s="4" t="n">
        <f aca="false">K21+L21+M21</f>
        <v>5</v>
      </c>
      <c r="P21" s="4" t="str">
        <f aca="false">IF(O21&gt;=Summary!$B$3,"Yes","No")</f>
        <v>Yes</v>
      </c>
      <c r="Q21" s="2" t="s">
        <v>136</v>
      </c>
      <c r="R21" s="2" t="s">
        <v>138</v>
      </c>
      <c r="S21" s="5" t="s">
        <v>30</v>
      </c>
      <c r="T21" s="6"/>
    </row>
  </sheetData>
  <autoFilter ref="A1:T21"/>
  <conditionalFormatting sqref="P2:P21">
    <cfRule type="cellIs" priority="2" operator="equal" aboveAverage="0" equalAverage="0" bottom="0" percent="0" rank="0" text="" dxfId="8">
      <formula>"Yes"</formula>
    </cfRule>
    <cfRule type="cellIs" priority="3" operator="equal" aboveAverage="0" equalAverage="0" bottom="0" percent="0" rank="0" text="" dxfId="9">
      <formula>"No"</formula>
    </cfRule>
  </conditionalFormatting>
  <dataValidations count="3">
    <dataValidation allowBlank="true" errorStyle="stop" operator="between" showDropDown="false" showErrorMessage="false" showInputMessage="false" sqref="K2:L21" type="whole">
      <formula1>0</formula1>
      <formula2>2</formula2>
    </dataValidation>
    <dataValidation allowBlank="true" errorStyle="stop" operator="between" showDropDown="false" showErrorMessage="false" showInputMessage="false" sqref="M2:M21" type="whole">
      <formula1>0</formula1>
      <formula2>1</formula2>
    </dataValidation>
    <dataValidation allowBlank="true" errorStyle="stop" operator="between" showDropDown="false" showErrorMessage="false" showInputMessage="false" sqref="T2:T21" type="list">
      <formula1>"Live,Sign-in needed,Offline"</formula1>
      <formula2>0</formula2>
    </dataValidation>
  </dataValidations>
  <hyperlinks>
    <hyperlink ref="S2" r:id="rId1" display="Open link"/>
    <hyperlink ref="S3" r:id="rId2" display="Open link"/>
    <hyperlink ref="S4" r:id="rId3" display="Open link"/>
    <hyperlink ref="S5" r:id="rId4" display="Open link"/>
    <hyperlink ref="S6" r:id="rId5" display="Open link"/>
    <hyperlink ref="S7" r:id="rId6" display="Open link"/>
    <hyperlink ref="S8" r:id="rId7" display="Open link"/>
    <hyperlink ref="S9" r:id="rId8" display="Open link"/>
    <hyperlink ref="S10" r:id="rId9" display="Open link"/>
    <hyperlink ref="S11" r:id="rId10" display="Open link"/>
    <hyperlink ref="S12" r:id="rId11" display="Open link"/>
    <hyperlink ref="S13" r:id="rId12" display="Open link"/>
    <hyperlink ref="S14" r:id="rId13" display="Open link"/>
    <hyperlink ref="S15" r:id="rId14" display="Open link"/>
    <hyperlink ref="S16" r:id="rId15" display="Open link"/>
    <hyperlink ref="S17" r:id="rId16" display="Open link"/>
    <hyperlink ref="S18" r:id="rId17" display="Open link"/>
    <hyperlink ref="S19" r:id="rId18" display="Open link"/>
    <hyperlink ref="S20" r:id="rId19" display="Open link"/>
    <hyperlink ref="S21" r:id="rId20" display="Open 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7" t="s">
        <v>139</v>
      </c>
    </row>
    <row r="3" customFormat="false" ht="15" hidden="false" customHeight="false" outlineLevel="0" collapsed="false">
      <c r="A3" s="8" t="s">
        <v>140</v>
      </c>
      <c r="B3" s="9" t="n">
        <v>4</v>
      </c>
    </row>
    <row r="5" customFormat="false" ht="31.5" hidden="false" customHeight="true" outlineLevel="0" collapsed="false">
      <c r="A5" s="1" t="s">
        <v>3</v>
      </c>
      <c r="B5" s="1" t="s">
        <v>141</v>
      </c>
      <c r="C5" s="1" t="s">
        <v>142</v>
      </c>
      <c r="D5" s="1" t="s">
        <v>143</v>
      </c>
      <c r="E5" s="1" t="s">
        <v>144</v>
      </c>
      <c r="F5" s="1" t="s">
        <v>145</v>
      </c>
    </row>
    <row r="6" customFormat="false" ht="15" hidden="false" customHeight="false" outlineLevel="0" collapsed="false">
      <c r="A6" s="10" t="s">
        <v>23</v>
      </c>
      <c r="B6" s="11" t="n">
        <f aca="false">COUNTIF(Results!$D$2:$D$21,A6)</f>
        <v>10</v>
      </c>
      <c r="C6" s="11" t="n">
        <f aca="false">COUNTIFS(Results!$D$2:$D$21,A6,Results!$P$2:$P$21,"Yes")</f>
        <v>8</v>
      </c>
      <c r="D6" s="12" t="n">
        <f aca="false">C6/B6</f>
        <v>0.8</v>
      </c>
      <c r="E6" s="13" t="n">
        <f aca="false">AVERAGEIF(Results!$D$2:$D$21,A6,Results!$O$2:$O$21)</f>
        <v>4</v>
      </c>
      <c r="F6" s="13" t="n">
        <f aca="false">AVERAGEIF(Results!$D$2:$D$21,A6,Results!$E$2:$E$21)</f>
        <v>1.4</v>
      </c>
    </row>
    <row r="7" customFormat="false" ht="15" hidden="false" customHeight="false" outlineLevel="0" collapsed="false">
      <c r="A7" s="10" t="s">
        <v>31</v>
      </c>
      <c r="B7" s="11" t="n">
        <f aca="false">COUNTIF(Results!$D$2:$D$21,A7)</f>
        <v>10</v>
      </c>
      <c r="C7" s="11" t="n">
        <f aca="false">COUNTIFS(Results!$D$2:$D$21,A7,Results!$P$2:$P$21,"Yes")</f>
        <v>5</v>
      </c>
      <c r="D7" s="12" t="n">
        <f aca="false">C7/B7</f>
        <v>0.5</v>
      </c>
      <c r="E7" s="13" t="n">
        <f aca="false">AVERAGEIF(Results!$D$2:$D$21,A7,Results!$O$2:$O$21)</f>
        <v>3.6</v>
      </c>
      <c r="F7" s="13" t="n">
        <f aca="false">AVERAGEIF(Results!$D$2:$D$21,A7,Results!$E$2:$E$21)</f>
        <v>1.9</v>
      </c>
    </row>
    <row r="8" customFormat="false" ht="15" hidden="false" customHeight="false" outlineLevel="0" collapsed="false">
      <c r="A8" s="14" t="s">
        <v>146</v>
      </c>
      <c r="B8" s="15" t="n">
        <f aca="false">SUM(B6:B7)</f>
        <v>20</v>
      </c>
      <c r="C8" s="15" t="n">
        <f aca="false">SUM(C6:C7)</f>
        <v>13</v>
      </c>
      <c r="D8" s="16" t="n">
        <f aca="false">C8/B8</f>
        <v>0.65</v>
      </c>
      <c r="E8" s="17" t="n">
        <f aca="false">AVERAGE(Results!$O$2:$O$21)</f>
        <v>3.8</v>
      </c>
      <c r="F8" s="17" t="n">
        <f aca="false">AVERAGE(Results!$E$2:$E$21)</f>
        <v>1.65</v>
      </c>
    </row>
    <row r="10" customFormat="false" ht="15" hidden="false" customHeight="false" outlineLevel="0" collapsed="false">
      <c r="A10" s="8" t="s">
        <v>147</v>
      </c>
      <c r="B10" s="8" t="n">
        <f aca="false">COUNTA(Results!$T$2:$T$21)</f>
        <v>0</v>
      </c>
      <c r="C10" s="8" t="str">
        <f aca="false">"of "&amp;B8</f>
        <v>of 20</v>
      </c>
    </row>
    <row r="11" customFormat="false" ht="15" hidden="false" customHeight="false" outlineLevel="0" collapsed="false">
      <c r="A11" s="8" t="s">
        <v>148</v>
      </c>
      <c r="B11" s="18" t="n">
        <f aca="false">COUNTIF(Results!$T$2:$T$21,"Live")</f>
        <v>0</v>
      </c>
    </row>
    <row r="12" customFormat="false" ht="15" hidden="false" customHeight="false" outlineLevel="0" collapsed="false">
      <c r="A12" s="8" t="s">
        <v>149</v>
      </c>
      <c r="B12" s="18" t="n">
        <f aca="false">COUNTIF(Results!$T$2:$T$21,"Sign-in needed")</f>
        <v>0</v>
      </c>
    </row>
    <row r="13" customFormat="false" ht="15" hidden="false" customHeight="false" outlineLevel="0" collapsed="false">
      <c r="A13" s="8" t="s">
        <v>150</v>
      </c>
      <c r="B13" s="18" t="n">
        <f aca="false">COUNTIF(Results!$T$2:$T$21,"Offline")</f>
        <v>0</v>
      </c>
    </row>
    <row r="14" customFormat="false" ht="15" hidden="false" customHeight="false" outlineLevel="0" collapsed="false">
      <c r="A14" s="8" t="s">
        <v>151</v>
      </c>
      <c r="B14" s="19" t="str">
        <f aca="false">IF(B10=0,"n/a",(B11+B12)/B10)</f>
        <v>n/a</v>
      </c>
    </row>
    <row r="15" customFormat="false" ht="15" hidden="false" customHeight="false" outlineLevel="0" collapsed="false">
      <c r="A15" s="8" t="s">
        <v>152</v>
      </c>
      <c r="B15" s="20" t="str">
        <f aca="false">IF(B10=0,"n/a",SUMPRODUCT((Results!$T$2:$T$21&lt;&gt;"")*(Results!$O$2:$O$21+(Results!$T$2:$T$21&lt;&gt;"Offline")))/B10)</f>
        <v>n/a</v>
      </c>
    </row>
    <row r="17" customFormat="false" ht="15" hidden="false" customHeight="false" outlineLevel="0" collapsed="false">
      <c r="A17" s="21" t="s">
        <v>153</v>
      </c>
    </row>
    <row r="18" customFormat="false" ht="15" hidden="false" customHeight="false" outlineLevel="0" collapsed="false">
      <c r="A18" s="22" t="s">
        <v>154</v>
      </c>
    </row>
    <row r="19" customFormat="false" ht="15" hidden="false" customHeight="false" outlineLevel="0" collapsed="false">
      <c r="A19" s="22" t="s">
        <v>155</v>
      </c>
    </row>
    <row r="20" customFormat="false" ht="15" hidden="false" customHeight="false" outlineLevel="0" collapsed="false">
      <c r="A20" s="22" t="s">
        <v>156</v>
      </c>
    </row>
    <row r="21" customFormat="false" ht="15" hidden="false" customHeight="false" outlineLevel="0" collapsed="false">
      <c r="A21" s="22" t="s">
        <v>157</v>
      </c>
    </row>
    <row r="22" customFormat="false" ht="15" hidden="false" customHeight="false" outlineLevel="0" collapsed="false">
      <c r="A22" s="22" t="s">
        <v>158</v>
      </c>
    </row>
    <row r="23" customFormat="false" ht="15" hidden="false" customHeight="false" outlineLevel="0" collapsed="false">
      <c r="A23" s="22" t="s">
        <v>159</v>
      </c>
    </row>
    <row r="24" customFormat="false" ht="15" hidden="false" customHeight="false" outlineLevel="0" collapsed="false">
      <c r="A24" s="22" t="s">
        <v>160</v>
      </c>
    </row>
    <row r="25" customFormat="false" ht="15" hidden="false" customHeight="false" outlineLevel="0" collapsed="false">
      <c r="A25" s="22" t="s">
        <v>161</v>
      </c>
    </row>
    <row r="26" customFormat="false" ht="15" hidden="false" customHeight="false" outlineLevel="0" collapsed="false">
      <c r="A26" s="22" t="s">
        <v>162</v>
      </c>
    </row>
    <row r="27" customFormat="false" ht="15" hidden="false" customHeight="false" outlineLevel="0" collapsed="false">
      <c r="A27" s="22" t="s">
        <v>163</v>
      </c>
    </row>
    <row r="28" customFormat="false" ht="15" hidden="false" customHeight="false" outlineLevel="0" collapsed="false">
      <c r="A28" s="8" t="s">
        <v>164</v>
      </c>
    </row>
    <row r="29" customFormat="false" ht="15" hidden="false" customHeight="false" outlineLevel="0" collapsed="false">
      <c r="A29" s="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2026-10-27T04:03:05Z</dcterms:created>
  <dc:creator>openpyxl</dc:creator>
  <dc:description/>
  <dc:language>en-US</dc:language>
  <cp:lastModifiedBy/>
  <dcterms:modified xsi:type="dcterms:W3CDTF">2026-10-27T04:03:05Z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